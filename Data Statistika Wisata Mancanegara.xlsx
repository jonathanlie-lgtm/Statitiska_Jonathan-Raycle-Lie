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kyne\Downloads\"/>
    </mc:Choice>
  </mc:AlternateContent>
  <xr:revisionPtr revIDLastSave="0" documentId="13_ncr:1_{F52B8FE0-1C33-443C-9E80-BEA220B83A6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 Wism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7" i="1" l="1"/>
  <c r="E105" i="1"/>
  <c r="E92" i="1"/>
  <c r="E79" i="1"/>
  <c r="E66" i="1"/>
  <c r="E53" i="1"/>
  <c r="E40" i="1"/>
  <c r="E27" i="1"/>
  <c r="E14" i="1"/>
  <c r="C106" i="1" l="1"/>
  <c r="C109" i="1" s="1"/>
  <c r="C114" i="1" l="1"/>
  <c r="C110" i="1"/>
  <c r="C115" i="1"/>
  <c r="C111" i="1"/>
  <c r="B117" i="1"/>
  <c r="C112" i="1"/>
  <c r="C108" i="1"/>
  <c r="C113" i="1"/>
</calcChain>
</file>

<file path=xl/sharedStrings.xml><?xml version="1.0" encoding="utf-8"?>
<sst xmlns="http://schemas.openxmlformats.org/spreadsheetml/2006/main" count="214" uniqueCount="130">
  <si>
    <t>No</t>
  </si>
  <si>
    <t>Tahun</t>
  </si>
  <si>
    <t>Bulan</t>
  </si>
  <si>
    <t>Waktu (X)</t>
  </si>
  <si>
    <t>Jumlah Wisman (Y)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</si>
  <si>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</si>
  <si>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</si>
  <si>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</si>
  <si>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</si>
  <si>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</si>
  <si>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</si>
  <si>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</si>
  <si>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</si>
  <si>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</si>
  <si>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</si>
  <si>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</si>
  <si>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</si>
  <si>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Jan-2018</t>
  </si>
  <si>
    <t>Feb-2018</t>
  </si>
  <si>
    <t>Mar-2018</t>
  </si>
  <si>
    <t>Apr-2018</t>
  </si>
  <si>
    <t>Mei-2018</t>
  </si>
  <si>
    <t>Jun-2018</t>
  </si>
  <si>
    <t>Jul-2018</t>
  </si>
  <si>
    <t>Agu-2018</t>
  </si>
  <si>
    <t>Sep-2018</t>
  </si>
  <si>
    <t>Okt-2018</t>
  </si>
  <si>
    <t>Nov-2018</t>
  </si>
  <si>
    <t>Des-2018</t>
  </si>
  <si>
    <t>Jan-2019</t>
  </si>
  <si>
    <t>Feb-2019</t>
  </si>
  <si>
    <t>Mar-2019</t>
  </si>
  <si>
    <t>Apr-2019</t>
  </si>
  <si>
    <t>Mei-2019</t>
  </si>
  <si>
    <t>Jun-2019</t>
  </si>
  <si>
    <t>Jul-2019</t>
  </si>
  <si>
    <t>Agu-2019</t>
  </si>
  <si>
    <t>Sep-2019</t>
  </si>
  <si>
    <t>Okt-2019</t>
  </si>
  <si>
    <t>Nov-2019</t>
  </si>
  <si>
    <t>Des-2019</t>
  </si>
  <si>
    <t>Jan-2020</t>
  </si>
  <si>
    <t>Feb-2020</t>
  </si>
  <si>
    <t>Mar-2020</t>
  </si>
  <si>
    <t>Apr-2020</t>
  </si>
  <si>
    <t>Mei-2020</t>
  </si>
  <si>
    <t>Jun-2020</t>
  </si>
  <si>
    <t>Jul-2020</t>
  </si>
  <si>
    <t>Agu-2020</t>
  </si>
  <si>
    <t>Sep-2020</t>
  </si>
  <si>
    <t>Okt-2020</t>
  </si>
  <si>
    <t>Nov-2020</t>
  </si>
  <si>
    <t>Des-2020</t>
  </si>
  <si>
    <t>Jan-2021</t>
  </si>
  <si>
    <t>Feb-2021</t>
  </si>
  <si>
    <t>Mar-2021</t>
  </si>
  <si>
    <t>Apr-2021</t>
  </si>
  <si>
    <t>Mei-2021</t>
  </si>
  <si>
    <t>Jun-2021</t>
  </si>
  <si>
    <t>Jul-2021</t>
  </si>
  <si>
    <t>Agu-2021</t>
  </si>
  <si>
    <t>Sep-2021</t>
  </si>
  <si>
    <t>Okt-2021</t>
  </si>
  <si>
    <t>Nov-2021</t>
  </si>
  <si>
    <t>Des-2021</t>
  </si>
  <si>
    <t>Jan-2022</t>
  </si>
  <si>
    <t>Feb-2022</t>
  </si>
  <si>
    <t>Mar-2022</t>
  </si>
  <si>
    <t>Apr-2022</t>
  </si>
  <si>
    <t>Mei-2022</t>
  </si>
  <si>
    <t>Jun-2022</t>
  </si>
  <si>
    <t>Jul-2022</t>
  </si>
  <si>
    <t>Agu-2022</t>
  </si>
  <si>
    <t>Sep-2022</t>
  </si>
  <si>
    <t>Okt-2022</t>
  </si>
  <si>
    <t>Nov-2022</t>
  </si>
  <si>
    <t>Des-2022</t>
  </si>
  <si>
    <t>Jan-2023</t>
  </si>
  <si>
    <t>Feb-2023</t>
  </si>
  <si>
    <t>Mar-2023</t>
  </si>
  <si>
    <t>Apr-2023</t>
  </si>
  <si>
    <t>Mei-2023</t>
  </si>
  <si>
    <t>Jun-2023</t>
  </si>
  <si>
    <t>Jul-2023</t>
  </si>
  <si>
    <t>Agu-2023</t>
  </si>
  <si>
    <t>Sep-2023</t>
  </si>
  <si>
    <t>Okt-2023</t>
  </si>
  <si>
    <t>Nov-2023</t>
  </si>
  <si>
    <t>Des-2023</t>
  </si>
  <si>
    <t>Jan-2024</t>
  </si>
  <si>
    <t>Feb-2024</t>
  </si>
  <si>
    <t>Mar-2024</t>
  </si>
  <si>
    <t>Apr-2024</t>
  </si>
  <si>
    <t>Mei-2024</t>
  </si>
  <si>
    <t>Jun-2024</t>
  </si>
  <si>
    <t>Jul-2024</t>
  </si>
  <si>
    <t>Agu-2024</t>
  </si>
  <si>
    <t>Sep-2024</t>
  </si>
  <si>
    <t>Okt-2024</t>
  </si>
  <si>
    <t>Nov-2024</t>
  </si>
  <si>
    <t>Des-2024</t>
  </si>
  <si>
    <t>Jan-2025</t>
  </si>
  <si>
    <t>Feb-2025</t>
  </si>
  <si>
    <t>Mar-2025</t>
  </si>
  <si>
    <t>Apr-2025</t>
  </si>
  <si>
    <t>Mei-2025</t>
  </si>
  <si>
    <t>Jun-2025</t>
  </si>
  <si>
    <t>Jul-2025</t>
  </si>
  <si>
    <t>Agu-2025</t>
  </si>
  <si>
    <t>Sep-2025</t>
  </si>
  <si>
    <t>Okt-2025</t>
  </si>
  <si>
    <t>Nov-2025</t>
  </si>
  <si>
    <t>Des-2025</t>
  </si>
  <si>
    <t>Jumlah Wisman 2025</t>
  </si>
  <si>
    <t>Jumlah Wisman 2024</t>
  </si>
  <si>
    <t>Jumlah Wisman 2018</t>
  </si>
  <si>
    <t>Jumlah Wisman 2019</t>
  </si>
  <si>
    <t>Jumlah Wisman 2020</t>
  </si>
  <si>
    <t>Jumlah Wisman 2021</t>
  </si>
  <si>
    <t>Jumlah Wisman 2022</t>
  </si>
  <si>
    <t>Jumlah Wisman 2023</t>
  </si>
  <si>
    <t>Mean</t>
  </si>
  <si>
    <t>Standar Deviasi</t>
  </si>
  <si>
    <t>Z Score</t>
  </si>
  <si>
    <r>
      <rPr>
        <b/>
        <sz val="11"/>
        <color theme="1"/>
        <rFont val="Calibri"/>
        <family val="2"/>
        <scheme val="minor"/>
      </rPr>
      <t xml:space="preserve">Interpretasi : </t>
    </r>
    <r>
      <rPr>
        <sz val="11"/>
        <color theme="1"/>
        <rFont val="Calibri"/>
        <family val="2"/>
        <scheme val="minor"/>
      </rPr>
      <t xml:space="preserve">Sebelum pandemi (2018–2019) banyak wisman yang berkunjung ke indonesia ditandai dengan z score &gt; 1, namun pada saat pandemi (2020–2021) terjadi penurunan drastis akibat bencana global ditandai dengan z score &lt; 1, dan karna masa covid sudah selesai pemulihan terjadi (2022–2025)
</t>
    </r>
  </si>
  <si>
    <t>Koefisien Variasi</t>
  </si>
  <si>
    <t>X</t>
  </si>
  <si>
    <t>Y</t>
  </si>
  <si>
    <t>Peluang : 
P(A) =           =  0.542/ 54%</t>
  </si>
  <si>
    <t>Interpertasi:
Misalkan kejadian A adalah jumlah wisatawan mancanegara dalam satu bulan lebih dari 1.000.000 orang.
Jadi probabilitas jumlah wisatawan lebih dari 1.000.000 orang dalam satu bulan adalah 0,542 atau 54,2%.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</si>
</sst>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'Data Wisman'!$H$9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 Wisman'!$G$10:$G$17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'Data Wisman'!$H$10:$H$17</c:f>
              <c:numCache>
                <c:formatCode>#,##0</c:formatCode>
                <c:ptCount val="8"/>
                <c:pt idx="0">
                  <c:v>15810305</c:v>
                </c:pt>
                <c:pt idx="1">
                  <c:v>16106954</c:v>
                </c:pt>
                <c:pt idx="2">
                  <c:v>4052923</c:v>
                </c:pt>
                <c:pt idx="3">
                  <c:v>1557530</c:v>
                </c:pt>
                <c:pt idx="4">
                  <c:v>5889031</c:v>
                </c:pt>
                <c:pt idx="5">
                  <c:v>11677825</c:v>
                </c:pt>
                <c:pt idx="6">
                  <c:v>13886678</c:v>
                </c:pt>
                <c:pt idx="7">
                  <c:v>15386646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F9-4772-9A5E-A6427B2AC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8589071"/>
        <c:axId val="2058589551"/>
      </c:lineChart>
      <c:catAx>
        <c:axId val="205858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589551"/>
        <c:crosses val="autoZero"/>
        <c:auto val="1"/>
        <c:lblAlgn val="ctr"/>
        <c:lblOffset val="100"/>
        <c:noMultiLvlLbl val="0"/>
      </c:catAx>
      <c:valAx>
        <c:axId val="205858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589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7</xdr:row>
      <xdr:rowOff>171450</xdr:rowOff>
    </xdr:from>
    <xdr:to>
      <xdr:col>15</xdr:col>
      <xdr:colOff>228600</xdr:colOff>
      <xdr:row>22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40675F-7CBB-5042-5F38-210C245545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7</xdr:col>
      <xdr:colOff>428625</xdr:colOff>
      <xdr:row>26</xdr:row>
      <xdr:rowOff>128587</xdr:rowOff>
    </xdr:from>
    <xdr:ext cx="188065" cy="32034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07902D2-0AF9-4B90-95BD-CF0AE52F0A90}"/>
                </a:ext>
              </a:extLst>
            </xdr:cNvPr>
            <xdr:cNvSpPr txBox="1"/>
          </xdr:nvSpPr>
          <xdr:spPr>
            <a:xfrm>
              <a:off x="5695950" y="5081587"/>
              <a:ext cx="188065" cy="3203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52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96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07902D2-0AF9-4B90-95BD-CF0AE52F0A90}"/>
                </a:ext>
              </a:extLst>
            </xdr:cNvPr>
            <xdr:cNvSpPr txBox="1"/>
          </xdr:nvSpPr>
          <xdr:spPr>
            <a:xfrm>
              <a:off x="5695950" y="5081587"/>
              <a:ext cx="188065" cy="3203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52/96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552450</xdr:colOff>
      <xdr:row>25</xdr:row>
      <xdr:rowOff>128587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179A0E5-7F5C-4578-A3E0-8554E25A2E7C}"/>
            </a:ext>
          </a:extLst>
        </xdr:cNvPr>
        <xdr:cNvSpPr txBox="1"/>
      </xdr:nvSpPr>
      <xdr:spPr>
        <a:xfrm>
          <a:off x="5819775" y="4891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552450</xdr:colOff>
      <xdr:row>21</xdr:row>
      <xdr:rowOff>128587</xdr:rowOff>
    </xdr:from>
    <xdr:ext cx="1231876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1768C22-ACF5-4525-9EF7-1D76F16D2F70}"/>
                </a:ext>
              </a:extLst>
            </xdr:cNvPr>
            <xdr:cNvSpPr txBox="1"/>
          </xdr:nvSpPr>
          <xdr:spPr>
            <a:xfrm>
              <a:off x="5819775" y="4129087"/>
              <a:ext cx="12318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a:fld id="{825F15A7-03F4-43D7-82C5-3E23DA2F108C}" type="mathplaceholder">
                      <a:rPr lang="en-US" sz="1100" i="1">
                        <a:latin typeface="Cambria Math" panose="02040503050406030204" pitchFamily="18" charset="0"/>
                      </a:rPr>
                      <a:t>Type equation here.</a:t>
                    </a:fld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1768C22-ACF5-4525-9EF7-1D76F16D2F70}"/>
                </a:ext>
              </a:extLst>
            </xdr:cNvPr>
            <xdr:cNvSpPr txBox="1"/>
          </xdr:nvSpPr>
          <xdr:spPr>
            <a:xfrm>
              <a:off x="5819775" y="4129087"/>
              <a:ext cx="12318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"Type equation here."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8"/>
  <sheetViews>
    <sheetView tabSelected="1" topLeftCell="A20" workbookViewId="0">
      <selection activeCell="G39" sqref="G39"/>
    </sheetView>
  </sheetViews>
  <sheetFormatPr defaultColWidth="8.85546875" defaultRowHeight="15" x14ac:dyDescent="0.25"/>
  <cols>
    <col min="1" max="2" width="8.85546875" style="1"/>
    <col min="3" max="3" width="12.140625" style="1" customWidth="1"/>
    <col min="4" max="4" width="12.7109375" style="1" customWidth="1"/>
    <col min="5" max="5" width="18.7109375" style="1" customWidth="1"/>
    <col min="6" max="7" width="8.85546875" style="1"/>
    <col min="8" max="8" width="11.42578125" style="1" customWidth="1"/>
    <col min="9" max="10" width="8.85546875" style="1"/>
    <col min="11" max="11" width="10.140625" style="1" bestFit="1" customWidth="1"/>
    <col min="12" max="16" width="8.85546875" style="1"/>
    <col min="17" max="17" width="8.85546875" style="1" customWidth="1"/>
    <col min="18" max="16384" width="8.85546875" style="1"/>
  </cols>
  <sheetData>
    <row r="1" spans="1:1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17" x14ac:dyDescent="0.25">
      <c r="A2" s="3">
        <v>1</v>
      </c>
      <c r="B2" s="3">
        <v>2018</v>
      </c>
      <c r="C2" s="3" t="s">
        <v>5</v>
      </c>
      <c r="D2" s="3" t="s">
        <v>17</v>
      </c>
      <c r="E2" s="4">
        <v>1097839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s="3">
        <v>2</v>
      </c>
      <c r="B3" s="3">
        <v>2018</v>
      </c>
      <c r="C3" s="3" t="s">
        <v>6</v>
      </c>
      <c r="D3" s="3" t="s">
        <v>18</v>
      </c>
      <c r="E3" s="4">
        <v>1197503</v>
      </c>
    </row>
    <row r="4" spans="1:17" x14ac:dyDescent="0.25">
      <c r="A4" s="3">
        <v>3</v>
      </c>
      <c r="B4" s="3">
        <v>2018</v>
      </c>
      <c r="C4" s="3" t="s">
        <v>7</v>
      </c>
      <c r="D4" s="3" t="s">
        <v>19</v>
      </c>
      <c r="E4" s="4">
        <v>1363426</v>
      </c>
    </row>
    <row r="5" spans="1:17" x14ac:dyDescent="0.25">
      <c r="A5" s="3">
        <v>4</v>
      </c>
      <c r="B5" s="3">
        <v>2018</v>
      </c>
      <c r="C5" s="3" t="s">
        <v>8</v>
      </c>
      <c r="D5" s="3" t="s">
        <v>20</v>
      </c>
      <c r="E5" s="4">
        <v>1302321</v>
      </c>
    </row>
    <row r="6" spans="1:17" x14ac:dyDescent="0.25">
      <c r="A6" s="3">
        <v>5</v>
      </c>
      <c r="B6" s="3">
        <v>2018</v>
      </c>
      <c r="C6" s="3" t="s">
        <v>9</v>
      </c>
      <c r="D6" s="3" t="s">
        <v>21</v>
      </c>
      <c r="E6" s="4">
        <v>1242705</v>
      </c>
    </row>
    <row r="7" spans="1:17" x14ac:dyDescent="0.25">
      <c r="A7" s="3">
        <v>6</v>
      </c>
      <c r="B7" s="3">
        <v>2018</v>
      </c>
      <c r="C7" s="3" t="s">
        <v>10</v>
      </c>
      <c r="D7" s="3" t="s">
        <v>22</v>
      </c>
      <c r="E7" s="4">
        <v>1322674</v>
      </c>
    </row>
    <row r="8" spans="1:17" x14ac:dyDescent="0.25">
      <c r="A8" s="3">
        <v>7</v>
      </c>
      <c r="B8" s="3">
        <v>2018</v>
      </c>
      <c r="C8" s="3" t="s">
        <v>11</v>
      </c>
      <c r="D8" s="3" t="s">
        <v>23</v>
      </c>
      <c r="E8" s="4">
        <v>1547231</v>
      </c>
    </row>
    <row r="9" spans="1:17" x14ac:dyDescent="0.25">
      <c r="A9" s="3">
        <v>8</v>
      </c>
      <c r="B9" s="3">
        <v>2018</v>
      </c>
      <c r="C9" s="3" t="s">
        <v>12</v>
      </c>
      <c r="D9" s="3" t="s">
        <v>24</v>
      </c>
      <c r="E9" s="4">
        <v>1511021</v>
      </c>
      <c r="G9" s="7" t="s">
        <v>126</v>
      </c>
      <c r="H9" s="7" t="s">
        <v>127</v>
      </c>
    </row>
    <row r="10" spans="1:17" x14ac:dyDescent="0.25">
      <c r="A10" s="3">
        <v>9</v>
      </c>
      <c r="B10" s="3">
        <v>2018</v>
      </c>
      <c r="C10" s="3" t="s">
        <v>13</v>
      </c>
      <c r="D10" s="3" t="s">
        <v>25</v>
      </c>
      <c r="E10" s="4">
        <v>1370943</v>
      </c>
      <c r="G10" s="5">
        <v>2018</v>
      </c>
      <c r="H10" s="2">
        <v>15810305</v>
      </c>
      <c r="I10" s="5"/>
      <c r="J10" s="5"/>
    </row>
    <row r="11" spans="1:17" x14ac:dyDescent="0.25">
      <c r="A11" s="3">
        <v>10</v>
      </c>
      <c r="B11" s="3">
        <v>2018</v>
      </c>
      <c r="C11" s="3" t="s">
        <v>14</v>
      </c>
      <c r="D11" s="3" t="s">
        <v>26</v>
      </c>
      <c r="E11" s="4">
        <v>1291605</v>
      </c>
      <c r="G11" s="5">
        <v>2019</v>
      </c>
      <c r="H11" s="2">
        <v>16106954</v>
      </c>
      <c r="I11" s="5"/>
      <c r="J11" s="5"/>
    </row>
    <row r="12" spans="1:17" x14ac:dyDescent="0.25">
      <c r="A12" s="3">
        <v>11</v>
      </c>
      <c r="B12" s="3">
        <v>2018</v>
      </c>
      <c r="C12" s="3" t="s">
        <v>15</v>
      </c>
      <c r="D12" s="3" t="s">
        <v>27</v>
      </c>
      <c r="E12" s="4">
        <v>1157483</v>
      </c>
      <c r="G12" s="5">
        <v>2020</v>
      </c>
      <c r="H12" s="2">
        <v>4052923</v>
      </c>
      <c r="I12" s="5"/>
      <c r="J12" s="5"/>
    </row>
    <row r="13" spans="1:17" x14ac:dyDescent="0.25">
      <c r="A13" s="3">
        <v>12</v>
      </c>
      <c r="B13" s="3">
        <v>2018</v>
      </c>
      <c r="C13" s="3" t="s">
        <v>16</v>
      </c>
      <c r="D13" s="3" t="s">
        <v>28</v>
      </c>
      <c r="E13" s="4">
        <v>1405554</v>
      </c>
      <c r="G13" s="5">
        <v>2021</v>
      </c>
      <c r="H13" s="2">
        <v>1557530</v>
      </c>
      <c r="I13" s="5"/>
      <c r="J13" s="5"/>
    </row>
    <row r="14" spans="1:17" x14ac:dyDescent="0.25">
      <c r="A14" s="13" t="s">
        <v>115</v>
      </c>
      <c r="B14" s="13"/>
      <c r="C14" s="13"/>
      <c r="D14" s="13"/>
      <c r="E14" s="4">
        <f>SUM(E2:E13)</f>
        <v>15810305</v>
      </c>
      <c r="G14" s="5">
        <v>2022</v>
      </c>
      <c r="H14" s="2">
        <v>5889031</v>
      </c>
      <c r="I14" s="5"/>
      <c r="J14" s="5"/>
    </row>
    <row r="15" spans="1:17" x14ac:dyDescent="0.25">
      <c r="A15" s="3">
        <v>13</v>
      </c>
      <c r="B15" s="3">
        <v>2019</v>
      </c>
      <c r="C15" s="3" t="s">
        <v>5</v>
      </c>
      <c r="D15" s="3" t="s">
        <v>29</v>
      </c>
      <c r="E15" s="4">
        <v>1201735</v>
      </c>
      <c r="G15" s="5">
        <v>2023</v>
      </c>
      <c r="H15" s="2">
        <v>11677825</v>
      </c>
      <c r="I15" s="5"/>
      <c r="J15" s="5"/>
    </row>
    <row r="16" spans="1:17" x14ac:dyDescent="0.25">
      <c r="A16" s="3">
        <v>14</v>
      </c>
      <c r="B16" s="3">
        <v>2019</v>
      </c>
      <c r="C16" s="3" t="s">
        <v>6</v>
      </c>
      <c r="D16" s="3" t="s">
        <v>30</v>
      </c>
      <c r="E16" s="4">
        <v>1243996</v>
      </c>
      <c r="G16" s="5">
        <v>2024</v>
      </c>
      <c r="H16" s="2">
        <v>13886678</v>
      </c>
      <c r="I16" s="5"/>
      <c r="J16" s="5"/>
    </row>
    <row r="17" spans="1:13" x14ac:dyDescent="0.25">
      <c r="A17" s="3">
        <v>15</v>
      </c>
      <c r="B17" s="3">
        <v>2019</v>
      </c>
      <c r="C17" s="3" t="s">
        <v>7</v>
      </c>
      <c r="D17" s="3" t="s">
        <v>31</v>
      </c>
      <c r="E17" s="4">
        <v>1311911</v>
      </c>
      <c r="G17" s="5">
        <v>2025</v>
      </c>
      <c r="H17" s="2">
        <v>15386646</v>
      </c>
      <c r="I17" s="5"/>
      <c r="J17" s="5"/>
    </row>
    <row r="18" spans="1:13" x14ac:dyDescent="0.25">
      <c r="A18" s="3">
        <v>16</v>
      </c>
      <c r="B18" s="3">
        <v>2019</v>
      </c>
      <c r="C18" s="3" t="s">
        <v>8</v>
      </c>
      <c r="D18" s="3" t="s">
        <v>32</v>
      </c>
      <c r="E18" s="4">
        <v>1274231</v>
      </c>
    </row>
    <row r="19" spans="1:13" x14ac:dyDescent="0.25">
      <c r="A19" s="3">
        <v>17</v>
      </c>
      <c r="B19" s="3">
        <v>2019</v>
      </c>
      <c r="C19" s="3" t="s">
        <v>9</v>
      </c>
      <c r="D19" s="3" t="s">
        <v>33</v>
      </c>
      <c r="E19" s="4">
        <v>1249536</v>
      </c>
    </row>
    <row r="20" spans="1:13" x14ac:dyDescent="0.25">
      <c r="A20" s="3">
        <v>18</v>
      </c>
      <c r="B20" s="3">
        <v>2019</v>
      </c>
      <c r="C20" s="3" t="s">
        <v>10</v>
      </c>
      <c r="D20" s="3" t="s">
        <v>34</v>
      </c>
      <c r="E20" s="4">
        <v>1434103</v>
      </c>
    </row>
    <row r="21" spans="1:13" x14ac:dyDescent="0.25">
      <c r="A21" s="3">
        <v>19</v>
      </c>
      <c r="B21" s="3">
        <v>2019</v>
      </c>
      <c r="C21" s="3" t="s">
        <v>11</v>
      </c>
      <c r="D21" s="3" t="s">
        <v>35</v>
      </c>
      <c r="E21" s="4">
        <v>1468173</v>
      </c>
    </row>
    <row r="22" spans="1:13" x14ac:dyDescent="0.25">
      <c r="A22" s="3">
        <v>20</v>
      </c>
      <c r="B22" s="3">
        <v>2019</v>
      </c>
      <c r="C22" s="3" t="s">
        <v>12</v>
      </c>
      <c r="D22" s="3" t="s">
        <v>36</v>
      </c>
      <c r="E22" s="4">
        <v>1530268</v>
      </c>
    </row>
    <row r="23" spans="1:13" x14ac:dyDescent="0.25">
      <c r="A23" s="3">
        <v>21</v>
      </c>
      <c r="B23" s="3">
        <v>2019</v>
      </c>
      <c r="C23" s="3" t="s">
        <v>13</v>
      </c>
      <c r="D23" s="3" t="s">
        <v>37</v>
      </c>
      <c r="E23" s="4">
        <v>1388719</v>
      </c>
    </row>
    <row r="24" spans="1:13" x14ac:dyDescent="0.25">
      <c r="A24" s="3">
        <v>22</v>
      </c>
      <c r="B24" s="3">
        <v>2019</v>
      </c>
      <c r="C24" s="3" t="s">
        <v>14</v>
      </c>
      <c r="D24" s="3" t="s">
        <v>38</v>
      </c>
      <c r="E24" s="4">
        <v>1346434</v>
      </c>
    </row>
    <row r="25" spans="1:13" x14ac:dyDescent="0.25">
      <c r="A25" s="3">
        <v>23</v>
      </c>
      <c r="B25" s="3">
        <v>2019</v>
      </c>
      <c r="C25" s="3" t="s">
        <v>15</v>
      </c>
      <c r="D25" s="3" t="s">
        <v>39</v>
      </c>
      <c r="E25" s="4">
        <v>1280781</v>
      </c>
    </row>
    <row r="26" spans="1:13" x14ac:dyDescent="0.25">
      <c r="A26" s="3">
        <v>24</v>
      </c>
      <c r="B26" s="3">
        <v>2019</v>
      </c>
      <c r="C26" s="3" t="s">
        <v>16</v>
      </c>
      <c r="D26" s="3" t="s">
        <v>40</v>
      </c>
      <c r="E26" s="4">
        <v>1377067</v>
      </c>
      <c r="H26" s="15" t="s">
        <v>128</v>
      </c>
      <c r="I26" s="14"/>
      <c r="J26" s="14"/>
      <c r="K26" s="14"/>
      <c r="L26" s="14"/>
      <c r="M26" s="14"/>
    </row>
    <row r="27" spans="1:13" x14ac:dyDescent="0.25">
      <c r="A27" s="13" t="s">
        <v>116</v>
      </c>
      <c r="B27" s="13"/>
      <c r="C27" s="13"/>
      <c r="D27" s="13"/>
      <c r="E27" s="4">
        <f>SUM(E15:E26)</f>
        <v>16106954</v>
      </c>
      <c r="H27" s="14"/>
      <c r="I27" s="14"/>
      <c r="J27" s="14"/>
      <c r="K27" s="14"/>
      <c r="L27" s="14"/>
      <c r="M27" s="14"/>
    </row>
    <row r="28" spans="1:13" x14ac:dyDescent="0.25">
      <c r="A28" s="3">
        <v>25</v>
      </c>
      <c r="B28" s="3">
        <v>2020</v>
      </c>
      <c r="C28" s="3" t="s">
        <v>5</v>
      </c>
      <c r="D28" s="3" t="s">
        <v>41</v>
      </c>
      <c r="E28" s="4">
        <v>1290411</v>
      </c>
      <c r="H28" s="14"/>
      <c r="I28" s="14"/>
      <c r="J28" s="14"/>
      <c r="K28" s="14"/>
      <c r="L28" s="14"/>
      <c r="M28" s="14"/>
    </row>
    <row r="29" spans="1:13" x14ac:dyDescent="0.25">
      <c r="A29" s="3">
        <v>26</v>
      </c>
      <c r="B29" s="3">
        <v>2020</v>
      </c>
      <c r="C29" s="3" t="s">
        <v>6</v>
      </c>
      <c r="D29" s="3" t="s">
        <v>42</v>
      </c>
      <c r="E29" s="4">
        <v>872765</v>
      </c>
      <c r="H29" s="14"/>
      <c r="I29" s="14"/>
      <c r="J29" s="14"/>
      <c r="K29" s="14"/>
      <c r="L29" s="14"/>
      <c r="M29" s="14"/>
    </row>
    <row r="30" spans="1:13" x14ac:dyDescent="0.25">
      <c r="A30" s="3">
        <v>27</v>
      </c>
      <c r="B30" s="3">
        <v>2020</v>
      </c>
      <c r="C30" s="3" t="s">
        <v>7</v>
      </c>
      <c r="D30" s="3" t="s">
        <v>43</v>
      </c>
      <c r="E30" s="4">
        <v>486155</v>
      </c>
      <c r="H30" s="14"/>
      <c r="I30" s="14"/>
      <c r="J30" s="14"/>
      <c r="K30" s="14"/>
      <c r="L30" s="14"/>
      <c r="M30" s="14"/>
    </row>
    <row r="31" spans="1:13" x14ac:dyDescent="0.25">
      <c r="A31" s="3">
        <v>28</v>
      </c>
      <c r="B31" s="3">
        <v>2020</v>
      </c>
      <c r="C31" s="3" t="s">
        <v>8</v>
      </c>
      <c r="D31" s="3" t="s">
        <v>44</v>
      </c>
      <c r="E31" s="4">
        <v>158066</v>
      </c>
      <c r="H31" s="14"/>
      <c r="I31" s="14"/>
      <c r="J31" s="14"/>
      <c r="K31" s="14"/>
      <c r="L31" s="14"/>
      <c r="M31" s="14"/>
    </row>
    <row r="32" spans="1:13" x14ac:dyDescent="0.25">
      <c r="A32" s="3">
        <v>29</v>
      </c>
      <c r="B32" s="3">
        <v>2020</v>
      </c>
      <c r="C32" s="3" t="s">
        <v>9</v>
      </c>
      <c r="D32" s="3" t="s">
        <v>45</v>
      </c>
      <c r="E32" s="4">
        <v>161842</v>
      </c>
    </row>
    <row r="33" spans="1:13" x14ac:dyDescent="0.25">
      <c r="A33" s="3">
        <v>30</v>
      </c>
      <c r="B33" s="3">
        <v>2020</v>
      </c>
      <c r="C33" s="3" t="s">
        <v>10</v>
      </c>
      <c r="D33" s="3" t="s">
        <v>46</v>
      </c>
      <c r="E33" s="4">
        <v>156561</v>
      </c>
      <c r="H33" s="16" t="s">
        <v>129</v>
      </c>
      <c r="I33" s="17"/>
      <c r="J33" s="17"/>
      <c r="K33" s="17"/>
      <c r="L33" s="17"/>
      <c r="M33" s="17"/>
    </row>
    <row r="34" spans="1:13" x14ac:dyDescent="0.25">
      <c r="A34" s="3">
        <v>31</v>
      </c>
      <c r="B34" s="3">
        <v>2020</v>
      </c>
      <c r="C34" s="3" t="s">
        <v>11</v>
      </c>
      <c r="D34" s="3" t="s">
        <v>47</v>
      </c>
      <c r="E34" s="4">
        <v>155742</v>
      </c>
      <c r="H34" s="17"/>
      <c r="I34" s="17"/>
      <c r="J34" s="17"/>
      <c r="K34" s="17"/>
      <c r="L34" s="17"/>
      <c r="M34" s="17"/>
    </row>
    <row r="35" spans="1:13" x14ac:dyDescent="0.25">
      <c r="A35" s="3">
        <v>32</v>
      </c>
      <c r="B35" s="3">
        <v>2020</v>
      </c>
      <c r="C35" s="3" t="s">
        <v>12</v>
      </c>
      <c r="D35" s="3" t="s">
        <v>48</v>
      </c>
      <c r="E35" s="4">
        <v>161549</v>
      </c>
      <c r="H35" s="17"/>
      <c r="I35" s="17"/>
      <c r="J35" s="17"/>
      <c r="K35" s="17"/>
      <c r="L35" s="17"/>
      <c r="M35" s="17"/>
    </row>
    <row r="36" spans="1:13" x14ac:dyDescent="0.25">
      <c r="A36" s="3">
        <v>33</v>
      </c>
      <c r="B36" s="3">
        <v>2020</v>
      </c>
      <c r="C36" s="3" t="s">
        <v>13</v>
      </c>
      <c r="D36" s="3" t="s">
        <v>49</v>
      </c>
      <c r="E36" s="4">
        <v>148984</v>
      </c>
      <c r="H36" s="17"/>
      <c r="I36" s="17"/>
      <c r="J36" s="17"/>
      <c r="K36" s="17"/>
      <c r="L36" s="17"/>
      <c r="M36" s="17"/>
    </row>
    <row r="37" spans="1:13" x14ac:dyDescent="0.25">
      <c r="A37" s="3">
        <v>34</v>
      </c>
      <c r="B37" s="3">
        <v>2020</v>
      </c>
      <c r="C37" s="3" t="s">
        <v>14</v>
      </c>
      <c r="D37" s="3" t="s">
        <v>50</v>
      </c>
      <c r="E37" s="4">
        <v>152293</v>
      </c>
      <c r="H37" s="17"/>
      <c r="I37" s="17"/>
      <c r="J37" s="17"/>
      <c r="K37" s="17"/>
      <c r="L37" s="17"/>
      <c r="M37" s="17"/>
    </row>
    <row r="38" spans="1:13" x14ac:dyDescent="0.25">
      <c r="A38" s="3">
        <v>35</v>
      </c>
      <c r="B38" s="3">
        <v>2020</v>
      </c>
      <c r="C38" s="3" t="s">
        <v>15</v>
      </c>
      <c r="D38" s="3" t="s">
        <v>51</v>
      </c>
      <c r="E38" s="4">
        <v>144476</v>
      </c>
    </row>
    <row r="39" spans="1:13" x14ac:dyDescent="0.25">
      <c r="A39" s="3">
        <v>36</v>
      </c>
      <c r="B39" s="3">
        <v>2020</v>
      </c>
      <c r="C39" s="3" t="s">
        <v>16</v>
      </c>
      <c r="D39" s="3" t="s">
        <v>52</v>
      </c>
      <c r="E39" s="4">
        <v>164079</v>
      </c>
    </row>
    <row r="40" spans="1:13" x14ac:dyDescent="0.25">
      <c r="A40" s="13" t="s">
        <v>117</v>
      </c>
      <c r="B40" s="13"/>
      <c r="C40" s="13"/>
      <c r="D40" s="13"/>
      <c r="E40" s="4">
        <f>SUM(E28:E39)</f>
        <v>4052923</v>
      </c>
    </row>
    <row r="41" spans="1:13" x14ac:dyDescent="0.25">
      <c r="A41" s="3">
        <v>37</v>
      </c>
      <c r="B41" s="3">
        <v>2021</v>
      </c>
      <c r="C41" s="3" t="s">
        <v>5</v>
      </c>
      <c r="D41" s="3" t="s">
        <v>53</v>
      </c>
      <c r="E41" s="4">
        <v>126515</v>
      </c>
    </row>
    <row r="42" spans="1:13" x14ac:dyDescent="0.25">
      <c r="A42" s="3">
        <v>38</v>
      </c>
      <c r="B42" s="3">
        <v>2021</v>
      </c>
      <c r="C42" s="3" t="s">
        <v>6</v>
      </c>
      <c r="D42" s="3" t="s">
        <v>54</v>
      </c>
      <c r="E42" s="4">
        <v>105788</v>
      </c>
    </row>
    <row r="43" spans="1:13" x14ac:dyDescent="0.25">
      <c r="A43" s="3">
        <v>39</v>
      </c>
      <c r="B43" s="3">
        <v>2021</v>
      </c>
      <c r="C43" s="3" t="s">
        <v>7</v>
      </c>
      <c r="D43" s="3" t="s">
        <v>55</v>
      </c>
      <c r="E43" s="4">
        <v>119979</v>
      </c>
    </row>
    <row r="44" spans="1:13" x14ac:dyDescent="0.25">
      <c r="A44" s="3">
        <v>40</v>
      </c>
      <c r="B44" s="3">
        <v>2021</v>
      </c>
      <c r="C44" s="3" t="s">
        <v>8</v>
      </c>
      <c r="D44" s="3" t="s">
        <v>56</v>
      </c>
      <c r="E44" s="4">
        <v>112756</v>
      </c>
    </row>
    <row r="45" spans="1:13" x14ac:dyDescent="0.25">
      <c r="A45" s="3">
        <v>41</v>
      </c>
      <c r="B45" s="3">
        <v>2021</v>
      </c>
      <c r="C45" s="3" t="s">
        <v>9</v>
      </c>
      <c r="D45" s="3" t="s">
        <v>57</v>
      </c>
      <c r="E45" s="4">
        <v>139433</v>
      </c>
    </row>
    <row r="46" spans="1:13" x14ac:dyDescent="0.25">
      <c r="A46" s="3">
        <v>42</v>
      </c>
      <c r="B46" s="3">
        <v>2021</v>
      </c>
      <c r="C46" s="3" t="s">
        <v>10</v>
      </c>
      <c r="D46" s="3" t="s">
        <v>58</v>
      </c>
      <c r="E46" s="4">
        <v>126844</v>
      </c>
    </row>
    <row r="47" spans="1:13" x14ac:dyDescent="0.25">
      <c r="A47" s="3">
        <v>43</v>
      </c>
      <c r="B47" s="3">
        <v>2021</v>
      </c>
      <c r="C47" s="3" t="s">
        <v>11</v>
      </c>
      <c r="D47" s="3" t="s">
        <v>59</v>
      </c>
      <c r="E47" s="4">
        <v>127249</v>
      </c>
    </row>
    <row r="48" spans="1:13" x14ac:dyDescent="0.25">
      <c r="A48" s="3">
        <v>44</v>
      </c>
      <c r="B48" s="3">
        <v>2021</v>
      </c>
      <c r="C48" s="3" t="s">
        <v>12</v>
      </c>
      <c r="D48" s="3" t="s">
        <v>60</v>
      </c>
      <c r="E48" s="4">
        <v>118533</v>
      </c>
    </row>
    <row r="49" spans="1:5" x14ac:dyDescent="0.25">
      <c r="A49" s="3">
        <v>45</v>
      </c>
      <c r="B49" s="3">
        <v>2021</v>
      </c>
      <c r="C49" s="3" t="s">
        <v>13</v>
      </c>
      <c r="D49" s="3" t="s">
        <v>61</v>
      </c>
      <c r="E49" s="4">
        <v>120100</v>
      </c>
    </row>
    <row r="50" spans="1:5" x14ac:dyDescent="0.25">
      <c r="A50" s="3">
        <v>46</v>
      </c>
      <c r="B50" s="3">
        <v>2021</v>
      </c>
      <c r="C50" s="3" t="s">
        <v>14</v>
      </c>
      <c r="D50" s="3" t="s">
        <v>62</v>
      </c>
      <c r="E50" s="4">
        <v>146137</v>
      </c>
    </row>
    <row r="51" spans="1:5" x14ac:dyDescent="0.25">
      <c r="A51" s="3">
        <v>47</v>
      </c>
      <c r="B51" s="3">
        <v>2021</v>
      </c>
      <c r="C51" s="3" t="s">
        <v>15</v>
      </c>
      <c r="D51" s="3" t="s">
        <v>63</v>
      </c>
      <c r="E51" s="4">
        <v>150577</v>
      </c>
    </row>
    <row r="52" spans="1:5" x14ac:dyDescent="0.25">
      <c r="A52" s="3">
        <v>48</v>
      </c>
      <c r="B52" s="3">
        <v>2021</v>
      </c>
      <c r="C52" s="3" t="s">
        <v>16</v>
      </c>
      <c r="D52" s="3" t="s">
        <v>64</v>
      </c>
      <c r="E52" s="4">
        <v>163619</v>
      </c>
    </row>
    <row r="53" spans="1:5" x14ac:dyDescent="0.25">
      <c r="A53" s="13" t="s">
        <v>118</v>
      </c>
      <c r="B53" s="13"/>
      <c r="C53" s="13"/>
      <c r="D53" s="13"/>
      <c r="E53" s="4">
        <f>SUM(E41:E52)</f>
        <v>1557530</v>
      </c>
    </row>
    <row r="54" spans="1:5" x14ac:dyDescent="0.25">
      <c r="A54" s="3">
        <v>49</v>
      </c>
      <c r="B54" s="3">
        <v>2022</v>
      </c>
      <c r="C54" s="3" t="s">
        <v>5</v>
      </c>
      <c r="D54" s="3" t="s">
        <v>65</v>
      </c>
      <c r="E54" s="4">
        <v>136298</v>
      </c>
    </row>
    <row r="55" spans="1:5" x14ac:dyDescent="0.25">
      <c r="A55" s="3">
        <v>50</v>
      </c>
      <c r="B55" s="3">
        <v>2022</v>
      </c>
      <c r="C55" s="3" t="s">
        <v>6</v>
      </c>
      <c r="D55" s="3" t="s">
        <v>66</v>
      </c>
      <c r="E55" s="4">
        <v>117509</v>
      </c>
    </row>
    <row r="56" spans="1:5" x14ac:dyDescent="0.25">
      <c r="A56" s="3">
        <v>51</v>
      </c>
      <c r="B56" s="3">
        <v>2022</v>
      </c>
      <c r="C56" s="3" t="s">
        <v>7</v>
      </c>
      <c r="D56" s="3" t="s">
        <v>67</v>
      </c>
      <c r="E56" s="4">
        <v>158629</v>
      </c>
    </row>
    <row r="57" spans="1:5" x14ac:dyDescent="0.25">
      <c r="A57" s="3">
        <v>52</v>
      </c>
      <c r="B57" s="3">
        <v>2022</v>
      </c>
      <c r="C57" s="3" t="s">
        <v>8</v>
      </c>
      <c r="D57" s="3" t="s">
        <v>68</v>
      </c>
      <c r="E57" s="4">
        <v>230076</v>
      </c>
    </row>
    <row r="58" spans="1:5" x14ac:dyDescent="0.25">
      <c r="A58" s="3">
        <v>53</v>
      </c>
      <c r="B58" s="3">
        <v>2022</v>
      </c>
      <c r="C58" s="3" t="s">
        <v>9</v>
      </c>
      <c r="D58" s="3" t="s">
        <v>69</v>
      </c>
      <c r="E58" s="4">
        <v>354920</v>
      </c>
    </row>
    <row r="59" spans="1:5" x14ac:dyDescent="0.25">
      <c r="A59" s="3">
        <v>54</v>
      </c>
      <c r="B59" s="3">
        <v>2022</v>
      </c>
      <c r="C59" s="3" t="s">
        <v>10</v>
      </c>
      <c r="D59" s="3" t="s">
        <v>70</v>
      </c>
      <c r="E59" s="4">
        <v>483883</v>
      </c>
    </row>
    <row r="60" spans="1:5" x14ac:dyDescent="0.25">
      <c r="A60" s="3">
        <v>55</v>
      </c>
      <c r="B60" s="3">
        <v>2022</v>
      </c>
      <c r="C60" s="3" t="s">
        <v>11</v>
      </c>
      <c r="D60" s="3" t="s">
        <v>71</v>
      </c>
      <c r="E60" s="4">
        <v>645121</v>
      </c>
    </row>
    <row r="61" spans="1:5" x14ac:dyDescent="0.25">
      <c r="A61" s="3">
        <v>56</v>
      </c>
      <c r="B61" s="3">
        <v>2022</v>
      </c>
      <c r="C61" s="3" t="s">
        <v>12</v>
      </c>
      <c r="D61" s="3" t="s">
        <v>72</v>
      </c>
      <c r="E61" s="4">
        <v>670509</v>
      </c>
    </row>
    <row r="62" spans="1:5" x14ac:dyDescent="0.25">
      <c r="A62" s="3">
        <v>57</v>
      </c>
      <c r="B62" s="3">
        <v>2022</v>
      </c>
      <c r="C62" s="3" t="s">
        <v>13</v>
      </c>
      <c r="D62" s="3" t="s">
        <v>73</v>
      </c>
      <c r="E62" s="4">
        <v>700606</v>
      </c>
    </row>
    <row r="63" spans="1:5" x14ac:dyDescent="0.25">
      <c r="A63" s="3">
        <v>58</v>
      </c>
      <c r="B63" s="3">
        <v>2022</v>
      </c>
      <c r="C63" s="3" t="s">
        <v>14</v>
      </c>
      <c r="D63" s="3" t="s">
        <v>74</v>
      </c>
      <c r="E63" s="4">
        <v>734228</v>
      </c>
    </row>
    <row r="64" spans="1:5" x14ac:dyDescent="0.25">
      <c r="A64" s="3">
        <v>59</v>
      </c>
      <c r="B64" s="3">
        <v>2022</v>
      </c>
      <c r="C64" s="3" t="s">
        <v>15</v>
      </c>
      <c r="D64" s="3" t="s">
        <v>75</v>
      </c>
      <c r="E64" s="4">
        <v>704783</v>
      </c>
    </row>
    <row r="65" spans="1:5" x14ac:dyDescent="0.25">
      <c r="A65" s="3">
        <v>60</v>
      </c>
      <c r="B65" s="3">
        <v>2022</v>
      </c>
      <c r="C65" s="3" t="s">
        <v>16</v>
      </c>
      <c r="D65" s="3" t="s">
        <v>76</v>
      </c>
      <c r="E65" s="4">
        <v>952469</v>
      </c>
    </row>
    <row r="66" spans="1:5" x14ac:dyDescent="0.25">
      <c r="A66" s="13" t="s">
        <v>119</v>
      </c>
      <c r="B66" s="13"/>
      <c r="C66" s="13"/>
      <c r="D66" s="13"/>
      <c r="E66" s="4">
        <f>SUM(E54:E65)</f>
        <v>5889031</v>
      </c>
    </row>
    <row r="67" spans="1:5" x14ac:dyDescent="0.25">
      <c r="A67" s="3">
        <v>61</v>
      </c>
      <c r="B67" s="3">
        <v>2023</v>
      </c>
      <c r="C67" s="3" t="s">
        <v>5</v>
      </c>
      <c r="D67" s="3" t="s">
        <v>77</v>
      </c>
      <c r="E67" s="4">
        <v>798469</v>
      </c>
    </row>
    <row r="68" spans="1:5" x14ac:dyDescent="0.25">
      <c r="A68" s="3">
        <v>62</v>
      </c>
      <c r="B68" s="3">
        <v>2023</v>
      </c>
      <c r="C68" s="3" t="s">
        <v>6</v>
      </c>
      <c r="D68" s="3" t="s">
        <v>78</v>
      </c>
      <c r="E68" s="4">
        <v>749436</v>
      </c>
    </row>
    <row r="69" spans="1:5" x14ac:dyDescent="0.25">
      <c r="A69" s="3">
        <v>63</v>
      </c>
      <c r="B69" s="3">
        <v>2023</v>
      </c>
      <c r="C69" s="3" t="s">
        <v>7</v>
      </c>
      <c r="D69" s="3" t="s">
        <v>79</v>
      </c>
      <c r="E69" s="4">
        <v>869244</v>
      </c>
    </row>
    <row r="70" spans="1:5" x14ac:dyDescent="0.25">
      <c r="A70" s="3">
        <v>64</v>
      </c>
      <c r="B70" s="3">
        <v>2023</v>
      </c>
      <c r="C70" s="3" t="s">
        <v>8</v>
      </c>
      <c r="D70" s="3" t="s">
        <v>80</v>
      </c>
      <c r="E70" s="4">
        <v>865811</v>
      </c>
    </row>
    <row r="71" spans="1:5" x14ac:dyDescent="0.25">
      <c r="A71" s="3">
        <v>65</v>
      </c>
      <c r="B71" s="3">
        <v>2023</v>
      </c>
      <c r="C71" s="3" t="s">
        <v>9</v>
      </c>
      <c r="D71" s="3" t="s">
        <v>81</v>
      </c>
      <c r="E71" s="4">
        <v>953714</v>
      </c>
    </row>
    <row r="72" spans="1:5" x14ac:dyDescent="0.25">
      <c r="A72" s="3">
        <v>66</v>
      </c>
      <c r="B72" s="3">
        <v>2023</v>
      </c>
      <c r="C72" s="3" t="s">
        <v>10</v>
      </c>
      <c r="D72" s="3" t="s">
        <v>82</v>
      </c>
      <c r="E72" s="4">
        <v>1062791</v>
      </c>
    </row>
    <row r="73" spans="1:5" x14ac:dyDescent="0.25">
      <c r="A73" s="3">
        <v>67</v>
      </c>
      <c r="B73" s="3">
        <v>2023</v>
      </c>
      <c r="C73" s="3" t="s">
        <v>11</v>
      </c>
      <c r="D73" s="3" t="s">
        <v>83</v>
      </c>
      <c r="E73" s="4">
        <v>1121189</v>
      </c>
    </row>
    <row r="74" spans="1:5" x14ac:dyDescent="0.25">
      <c r="A74" s="3">
        <v>68</v>
      </c>
      <c r="B74" s="3">
        <v>2023</v>
      </c>
      <c r="C74" s="3" t="s">
        <v>12</v>
      </c>
      <c r="D74" s="3" t="s">
        <v>84</v>
      </c>
      <c r="E74" s="4">
        <v>1132638</v>
      </c>
    </row>
    <row r="75" spans="1:5" x14ac:dyDescent="0.25">
      <c r="A75" s="3">
        <v>69</v>
      </c>
      <c r="B75" s="3">
        <v>2023</v>
      </c>
      <c r="C75" s="3" t="s">
        <v>13</v>
      </c>
      <c r="D75" s="3" t="s">
        <v>85</v>
      </c>
      <c r="E75" s="4">
        <v>1070245</v>
      </c>
    </row>
    <row r="76" spans="1:5" x14ac:dyDescent="0.25">
      <c r="A76" s="3">
        <v>70</v>
      </c>
      <c r="B76" s="3">
        <v>2023</v>
      </c>
      <c r="C76" s="3" t="s">
        <v>14</v>
      </c>
      <c r="D76" s="3" t="s">
        <v>86</v>
      </c>
      <c r="E76" s="4">
        <v>978519</v>
      </c>
    </row>
    <row r="77" spans="1:5" x14ac:dyDescent="0.25">
      <c r="A77" s="3">
        <v>71</v>
      </c>
      <c r="B77" s="3">
        <v>2023</v>
      </c>
      <c r="C77" s="3" t="s">
        <v>15</v>
      </c>
      <c r="D77" s="3" t="s">
        <v>87</v>
      </c>
      <c r="E77" s="4">
        <v>931227</v>
      </c>
    </row>
    <row r="78" spans="1:5" x14ac:dyDescent="0.25">
      <c r="A78" s="3">
        <v>72</v>
      </c>
      <c r="B78" s="3">
        <v>2023</v>
      </c>
      <c r="C78" s="3" t="s">
        <v>16</v>
      </c>
      <c r="D78" s="3" t="s">
        <v>88</v>
      </c>
      <c r="E78" s="4">
        <v>1144542</v>
      </c>
    </row>
    <row r="79" spans="1:5" x14ac:dyDescent="0.25">
      <c r="A79" s="13" t="s">
        <v>120</v>
      </c>
      <c r="B79" s="13"/>
      <c r="C79" s="13"/>
      <c r="D79" s="13"/>
      <c r="E79" s="4">
        <f>SUM(E67:E78)</f>
        <v>11677825</v>
      </c>
    </row>
    <row r="80" spans="1:5" x14ac:dyDescent="0.25">
      <c r="A80" s="3">
        <v>73</v>
      </c>
      <c r="B80" s="3">
        <v>2024</v>
      </c>
      <c r="C80" s="3" t="s">
        <v>5</v>
      </c>
      <c r="D80" s="3" t="s">
        <v>89</v>
      </c>
      <c r="E80" s="4">
        <v>927746</v>
      </c>
    </row>
    <row r="81" spans="1:5" x14ac:dyDescent="0.25">
      <c r="A81" s="3">
        <v>74</v>
      </c>
      <c r="B81" s="3">
        <v>2024</v>
      </c>
      <c r="C81" s="3" t="s">
        <v>6</v>
      </c>
      <c r="D81" s="3" t="s">
        <v>90</v>
      </c>
      <c r="E81" s="4">
        <v>1062149</v>
      </c>
    </row>
    <row r="82" spans="1:5" x14ac:dyDescent="0.25">
      <c r="A82" s="3">
        <v>75</v>
      </c>
      <c r="B82" s="3">
        <v>2024</v>
      </c>
      <c r="C82" s="3" t="s">
        <v>7</v>
      </c>
      <c r="D82" s="3" t="s">
        <v>91</v>
      </c>
      <c r="E82" s="4">
        <v>1041861</v>
      </c>
    </row>
    <row r="83" spans="1:5" x14ac:dyDescent="0.25">
      <c r="A83" s="3">
        <v>76</v>
      </c>
      <c r="B83" s="3">
        <v>2024</v>
      </c>
      <c r="C83" s="3" t="s">
        <v>8</v>
      </c>
      <c r="D83" s="3" t="s">
        <v>92</v>
      </c>
      <c r="E83" s="4">
        <v>1066958</v>
      </c>
    </row>
    <row r="84" spans="1:5" x14ac:dyDescent="0.25">
      <c r="A84" s="3">
        <v>77</v>
      </c>
      <c r="B84" s="3">
        <v>2024</v>
      </c>
      <c r="C84" s="3" t="s">
        <v>9</v>
      </c>
      <c r="D84" s="3" t="s">
        <v>93</v>
      </c>
      <c r="E84" s="4">
        <v>1145499</v>
      </c>
    </row>
    <row r="85" spans="1:5" x14ac:dyDescent="0.25">
      <c r="A85" s="3">
        <v>78</v>
      </c>
      <c r="B85" s="3">
        <v>2024</v>
      </c>
      <c r="C85" s="3" t="s">
        <v>10</v>
      </c>
      <c r="D85" s="3" t="s">
        <v>94</v>
      </c>
      <c r="E85" s="4">
        <v>1197941</v>
      </c>
    </row>
    <row r="86" spans="1:5" x14ac:dyDescent="0.25">
      <c r="A86" s="3">
        <v>79</v>
      </c>
      <c r="B86" s="3">
        <v>2024</v>
      </c>
      <c r="C86" s="3" t="s">
        <v>11</v>
      </c>
      <c r="D86" s="3" t="s">
        <v>95</v>
      </c>
      <c r="E86" s="4">
        <v>1310756</v>
      </c>
    </row>
    <row r="87" spans="1:5" x14ac:dyDescent="0.25">
      <c r="A87" s="3">
        <v>80</v>
      </c>
      <c r="B87" s="3">
        <v>2024</v>
      </c>
      <c r="C87" s="3" t="s">
        <v>12</v>
      </c>
      <c r="D87" s="3" t="s">
        <v>96</v>
      </c>
      <c r="E87" s="4">
        <v>1339946</v>
      </c>
    </row>
    <row r="88" spans="1:5" x14ac:dyDescent="0.25">
      <c r="A88" s="3">
        <v>81</v>
      </c>
      <c r="B88" s="3">
        <v>2024</v>
      </c>
      <c r="C88" s="3" t="s">
        <v>13</v>
      </c>
      <c r="D88" s="3" t="s">
        <v>97</v>
      </c>
      <c r="E88" s="4">
        <v>1279258</v>
      </c>
    </row>
    <row r="89" spans="1:5" x14ac:dyDescent="0.25">
      <c r="A89" s="3">
        <v>82</v>
      </c>
      <c r="B89" s="3">
        <v>2024</v>
      </c>
      <c r="C89" s="3" t="s">
        <v>14</v>
      </c>
      <c r="D89" s="3" t="s">
        <v>98</v>
      </c>
      <c r="E89" s="4">
        <v>1193867</v>
      </c>
    </row>
    <row r="90" spans="1:5" x14ac:dyDescent="0.25">
      <c r="A90" s="3">
        <v>83</v>
      </c>
      <c r="B90" s="3">
        <v>2024</v>
      </c>
      <c r="C90" s="3" t="s">
        <v>15</v>
      </c>
      <c r="D90" s="3" t="s">
        <v>99</v>
      </c>
      <c r="E90" s="4">
        <v>1092067</v>
      </c>
    </row>
    <row r="91" spans="1:5" x14ac:dyDescent="0.25">
      <c r="A91" s="3">
        <v>84</v>
      </c>
      <c r="B91" s="3">
        <v>2024</v>
      </c>
      <c r="C91" s="3" t="s">
        <v>16</v>
      </c>
      <c r="D91" s="3" t="s">
        <v>100</v>
      </c>
      <c r="E91" s="4">
        <v>1228630</v>
      </c>
    </row>
    <row r="92" spans="1:5" x14ac:dyDescent="0.25">
      <c r="A92" s="13" t="s">
        <v>114</v>
      </c>
      <c r="B92" s="13"/>
      <c r="C92" s="13"/>
      <c r="D92" s="13"/>
      <c r="E92" s="4">
        <f>SUM(E80:E91)</f>
        <v>13886678</v>
      </c>
    </row>
    <row r="93" spans="1:5" x14ac:dyDescent="0.25">
      <c r="A93" s="3">
        <v>85</v>
      </c>
      <c r="B93" s="3">
        <v>2025</v>
      </c>
      <c r="C93" s="3" t="s">
        <v>5</v>
      </c>
      <c r="D93" s="3" t="s">
        <v>101</v>
      </c>
      <c r="E93" s="4">
        <v>1156012</v>
      </c>
    </row>
    <row r="94" spans="1:5" x14ac:dyDescent="0.25">
      <c r="A94" s="3">
        <v>86</v>
      </c>
      <c r="B94" s="3">
        <v>2025</v>
      </c>
      <c r="C94" s="3" t="s">
        <v>6</v>
      </c>
      <c r="D94" s="3" t="s">
        <v>102</v>
      </c>
      <c r="E94" s="4">
        <v>1022894</v>
      </c>
    </row>
    <row r="95" spans="1:5" x14ac:dyDescent="0.25">
      <c r="A95" s="3">
        <v>87</v>
      </c>
      <c r="B95" s="3">
        <v>2025</v>
      </c>
      <c r="C95" s="3" t="s">
        <v>7</v>
      </c>
      <c r="D95" s="3" t="s">
        <v>103</v>
      </c>
      <c r="E95" s="4">
        <v>984769</v>
      </c>
    </row>
    <row r="96" spans="1:5" x14ac:dyDescent="0.25">
      <c r="A96" s="3">
        <v>88</v>
      </c>
      <c r="B96" s="3">
        <v>2025</v>
      </c>
      <c r="C96" s="3" t="s">
        <v>8</v>
      </c>
      <c r="D96" s="3" t="s">
        <v>104</v>
      </c>
      <c r="E96" s="4">
        <v>1164539</v>
      </c>
    </row>
    <row r="97" spans="1:6" x14ac:dyDescent="0.25">
      <c r="A97" s="3">
        <v>89</v>
      </c>
      <c r="B97" s="3">
        <v>2025</v>
      </c>
      <c r="C97" s="3" t="s">
        <v>9</v>
      </c>
      <c r="D97" s="3" t="s">
        <v>105</v>
      </c>
      <c r="E97" s="4">
        <v>1306000</v>
      </c>
    </row>
    <row r="98" spans="1:6" x14ac:dyDescent="0.25">
      <c r="A98" s="3">
        <v>90</v>
      </c>
      <c r="B98" s="3">
        <v>2025</v>
      </c>
      <c r="C98" s="3" t="s">
        <v>10</v>
      </c>
      <c r="D98" s="3" t="s">
        <v>106</v>
      </c>
      <c r="E98" s="4">
        <v>1417096</v>
      </c>
    </row>
    <row r="99" spans="1:6" x14ac:dyDescent="0.25">
      <c r="A99" s="3">
        <v>91</v>
      </c>
      <c r="B99" s="3">
        <v>2025</v>
      </c>
      <c r="C99" s="3" t="s">
        <v>11</v>
      </c>
      <c r="D99" s="3" t="s">
        <v>107</v>
      </c>
      <c r="E99" s="4">
        <v>1481346</v>
      </c>
    </row>
    <row r="100" spans="1:6" x14ac:dyDescent="0.25">
      <c r="A100" s="3">
        <v>92</v>
      </c>
      <c r="B100" s="3">
        <v>2025</v>
      </c>
      <c r="C100" s="3" t="s">
        <v>12</v>
      </c>
      <c r="D100" s="3" t="s">
        <v>108</v>
      </c>
      <c r="E100" s="4">
        <v>1505220</v>
      </c>
    </row>
    <row r="101" spans="1:6" x14ac:dyDescent="0.25">
      <c r="A101" s="3">
        <v>93</v>
      </c>
      <c r="B101" s="3">
        <v>2025</v>
      </c>
      <c r="C101" s="3" t="s">
        <v>13</v>
      </c>
      <c r="D101" s="3" t="s">
        <v>109</v>
      </c>
      <c r="E101" s="4">
        <v>1394910</v>
      </c>
    </row>
    <row r="102" spans="1:6" x14ac:dyDescent="0.25">
      <c r="A102" s="3">
        <v>94</v>
      </c>
      <c r="B102" s="3">
        <v>2025</v>
      </c>
      <c r="C102" s="3" t="s">
        <v>14</v>
      </c>
      <c r="D102" s="3" t="s">
        <v>110</v>
      </c>
      <c r="E102" s="4">
        <v>1348993</v>
      </c>
    </row>
    <row r="103" spans="1:6" x14ac:dyDescent="0.25">
      <c r="A103" s="3">
        <v>95</v>
      </c>
      <c r="B103" s="3">
        <v>2025</v>
      </c>
      <c r="C103" s="3" t="s">
        <v>15</v>
      </c>
      <c r="D103" s="3" t="s">
        <v>111</v>
      </c>
      <c r="E103" s="4">
        <v>1199007</v>
      </c>
    </row>
    <row r="104" spans="1:6" x14ac:dyDescent="0.25">
      <c r="A104" s="3">
        <v>96</v>
      </c>
      <c r="B104" s="3">
        <v>2025</v>
      </c>
      <c r="C104" s="3" t="s">
        <v>16</v>
      </c>
      <c r="D104" s="3" t="s">
        <v>112</v>
      </c>
      <c r="E104" s="4">
        <v>1405860</v>
      </c>
    </row>
    <row r="105" spans="1:6" x14ac:dyDescent="0.25">
      <c r="A105" s="13" t="s">
        <v>113</v>
      </c>
      <c r="B105" s="13"/>
      <c r="C105" s="13"/>
      <c r="D105" s="13"/>
      <c r="E105" s="4">
        <f>SUM(E93:E104)</f>
        <v>15386646</v>
      </c>
    </row>
    <row r="106" spans="1:6" x14ac:dyDescent="0.25">
      <c r="A106" s="10" t="s">
        <v>121</v>
      </c>
      <c r="B106" s="10"/>
      <c r="C106" s="2">
        <f>AVERAGE(E14,E27,E40,E53,E66,E79,E92,E105,)</f>
        <v>9374210.222222222</v>
      </c>
    </row>
    <row r="107" spans="1:6" x14ac:dyDescent="0.25">
      <c r="A107" s="11" t="s">
        <v>122</v>
      </c>
      <c r="B107" s="11"/>
      <c r="C107" s="1">
        <f>_xlfn.STDEV.S(E14,E27,E40,E53,E66,E79,E92,E105)</f>
        <v>5845023.8870964665</v>
      </c>
    </row>
    <row r="108" spans="1:6" ht="14.45" customHeight="1" x14ac:dyDescent="0.25">
      <c r="A108" s="11" t="s">
        <v>123</v>
      </c>
      <c r="B108" s="6">
        <v>2018</v>
      </c>
      <c r="C108" s="1">
        <f>(E14-$C$106)/$C$107</f>
        <v>1.101123776754132</v>
      </c>
      <c r="D108" s="12" t="s">
        <v>124</v>
      </c>
      <c r="E108" s="12"/>
      <c r="F108" s="12"/>
    </row>
    <row r="109" spans="1:6" x14ac:dyDescent="0.25">
      <c r="A109" s="11"/>
      <c r="B109" s="6">
        <v>2019</v>
      </c>
      <c r="C109" s="1">
        <f>(E27-$C$106)/$C$107</f>
        <v>1.1518761784089626</v>
      </c>
      <c r="D109" s="12"/>
      <c r="E109" s="12"/>
      <c r="F109" s="12"/>
    </row>
    <row r="110" spans="1:6" x14ac:dyDescent="0.25">
      <c r="A110" s="11"/>
      <c r="B110" s="6">
        <v>2020</v>
      </c>
      <c r="C110" s="1">
        <f>(E40-$C$106)/$C$107</f>
        <v>-0.91039614636469646</v>
      </c>
      <c r="D110" s="12"/>
      <c r="E110" s="12"/>
      <c r="F110" s="12"/>
    </row>
    <row r="111" spans="1:6" x14ac:dyDescent="0.25">
      <c r="A111" s="11"/>
      <c r="B111" s="6">
        <v>2021</v>
      </c>
      <c r="C111" s="1">
        <f>(E53-$C$106)/$C$107</f>
        <v>-1.3373222031612915</v>
      </c>
      <c r="D111" s="12"/>
      <c r="E111" s="12"/>
      <c r="F111" s="12"/>
    </row>
    <row r="112" spans="1:6" x14ac:dyDescent="0.25">
      <c r="A112" s="11"/>
      <c r="B112" s="6">
        <v>2022</v>
      </c>
      <c r="C112" s="1">
        <f>(E66-$C$106)/$C$107</f>
        <v>-0.59626432492707837</v>
      </c>
      <c r="D112" s="12"/>
      <c r="E112" s="12"/>
      <c r="F112" s="12"/>
    </row>
    <row r="113" spans="1:6" x14ac:dyDescent="0.25">
      <c r="A113" s="11"/>
      <c r="B113" s="6">
        <v>2023</v>
      </c>
      <c r="C113" s="1">
        <f>(E79-$C$106)/$C$107</f>
        <v>0.39411554550927691</v>
      </c>
      <c r="D113" s="12"/>
      <c r="E113" s="12"/>
      <c r="F113" s="12"/>
    </row>
    <row r="114" spans="1:6" x14ac:dyDescent="0.25">
      <c r="A114" s="11"/>
      <c r="B114" s="6">
        <v>2024</v>
      </c>
      <c r="C114" s="1">
        <f>(E92-$C$106)/$C$107</f>
        <v>0.77201870598673639</v>
      </c>
      <c r="D114" s="12"/>
      <c r="E114" s="12"/>
      <c r="F114" s="12"/>
    </row>
    <row r="115" spans="1:6" x14ac:dyDescent="0.25">
      <c r="A115" s="11"/>
      <c r="B115" s="6">
        <v>2025</v>
      </c>
      <c r="C115" s="1">
        <f>(E105-$C$106)/$C$107</f>
        <v>1.0286417804127186</v>
      </c>
      <c r="D115" s="12"/>
      <c r="E115" s="12"/>
      <c r="F115" s="12"/>
    </row>
    <row r="117" spans="1:6" x14ac:dyDescent="0.25">
      <c r="A117" s="8" t="s">
        <v>125</v>
      </c>
      <c r="B117" s="9">
        <f>C107/C106</f>
        <v>0.62352174194263621</v>
      </c>
      <c r="C117" s="9"/>
    </row>
    <row r="118" spans="1:6" x14ac:dyDescent="0.25">
      <c r="A118" s="8"/>
      <c r="B118" s="9"/>
      <c r="C118" s="9"/>
    </row>
  </sheetData>
  <mergeCells count="16">
    <mergeCell ref="A14:D14"/>
    <mergeCell ref="A27:D27"/>
    <mergeCell ref="A40:D40"/>
    <mergeCell ref="H26:M31"/>
    <mergeCell ref="H33:M37"/>
    <mergeCell ref="D108:F115"/>
    <mergeCell ref="A53:D53"/>
    <mergeCell ref="A66:D66"/>
    <mergeCell ref="A79:D79"/>
    <mergeCell ref="A92:D92"/>
    <mergeCell ref="A105:D105"/>
    <mergeCell ref="A117:A118"/>
    <mergeCell ref="B117:C118"/>
    <mergeCell ref="A106:B106"/>
    <mergeCell ref="A107:B107"/>
    <mergeCell ref="A108:A11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Wisman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2026-04-04T12:54:58Z</dcterms:created>
  <dcterms:modified xsi:type="dcterms:W3CDTF">2026-04-05T08:43:10Z</dcterms:modified>
</cp:coreProperties>
</file>